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FF"/>
      <sz val="10"/>
    </font>
    <font>
      <name val="Arial"/>
      <sz val="10"/>
    </font>
    <font>
      <name val="Arial"/>
      <color rgb="00888888"/>
      <sz val="9"/>
    </font>
    <font>
      <name val="Arial"/>
      <color rgb="000000FF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843C0C"/>
      </patternFill>
    </fill>
    <fill>
      <patternFill patternType="solid">
        <fgColor rgb="00FCE4D6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3" fontId="4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0" fillId="6" borderId="1" pivotButton="0" quotePrefix="0" xfId="0"/>
    <xf numFmtId="3" fontId="3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left" vertical="center"/>
    </xf>
    <xf numFmtId="0" fontId="0" fillId="9" borderId="1" pivotButton="0" quotePrefix="0" xfId="0"/>
    <xf numFmtId="3" fontId="3" fillId="9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left" vertical="center"/>
    </xf>
    <xf numFmtId="0" fontId="0" fillId="2" borderId="1" pivotButton="0" quotePrefix="0" xfId="0"/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8" customHeight="1">
      <c r="A1" s="1" t="inlineStr">
        <is>
          <t>FLUJO DE CAJA PROYECTADO 2025 — CLP</t>
        </is>
      </c>
    </row>
    <row r="2">
      <c r="A2" s="2" t="inlineStr">
        <is>
          <t>Concepto</t>
        </is>
      </c>
      <c r="B2" s="2" t="inlineStr">
        <is>
          <t>Categoría</t>
        </is>
      </c>
      <c r="C2" s="2" t="inlineStr">
        <is>
          <t>Ene</t>
        </is>
      </c>
      <c r="D2" s="2" t="inlineStr">
        <is>
          <t>Feb</t>
        </is>
      </c>
      <c r="E2" s="2" t="inlineStr">
        <is>
          <t>Mar</t>
        </is>
      </c>
      <c r="F2" s="2" t="inlineStr">
        <is>
          <t>Abr</t>
        </is>
      </c>
      <c r="G2" s="2" t="inlineStr">
        <is>
          <t>May</t>
        </is>
      </c>
      <c r="H2" s="2" t="inlineStr">
        <is>
          <t>Jun</t>
        </is>
      </c>
      <c r="I2" s="2" t="inlineStr">
        <is>
          <t>Jul</t>
        </is>
      </c>
      <c r="J2" s="2" t="inlineStr">
        <is>
          <t>Ago</t>
        </is>
      </c>
      <c r="K2" s="2" t="inlineStr">
        <is>
          <t>Sep</t>
        </is>
      </c>
      <c r="L2" s="2" t="inlineStr">
        <is>
          <t>Oct</t>
        </is>
      </c>
      <c r="M2" s="2" t="inlineStr">
        <is>
          <t>Nov</t>
        </is>
      </c>
      <c r="N2" s="2" t="inlineStr">
        <is>
          <t>Dic</t>
        </is>
      </c>
      <c r="O2" s="2" t="inlineStr">
        <is>
          <t>TOTAL</t>
        </is>
      </c>
    </row>
    <row r="3">
      <c r="A3" s="3" t="inlineStr">
        <is>
          <t>Saldo inicial</t>
        </is>
      </c>
      <c r="B3" s="4" t="n"/>
      <c r="C3" s="5" t="n">
        <v>0</v>
      </c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</row>
    <row r="4">
      <c r="A4" s="6" t="inlineStr">
        <is>
          <t>INGRESOS</t>
        </is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>
      <c r="A5" s="8" t="inlineStr">
        <is>
          <t>Cobranza clientes</t>
        </is>
      </c>
      <c r="B5" s="9" t="inlineStr">
        <is>
          <t>INGRESOS</t>
        </is>
      </c>
      <c r="C5" s="10" t="n">
        <v>18500000</v>
      </c>
      <c r="D5" s="10" t="n">
        <v>22000000</v>
      </c>
      <c r="E5" s="10" t="n">
        <v>19800000</v>
      </c>
      <c r="F5" s="10" t="n">
        <v>25000000</v>
      </c>
      <c r="G5" s="10" t="n">
        <v>21000000</v>
      </c>
      <c r="H5" s="10" t="n">
        <v>23500000</v>
      </c>
      <c r="I5" s="10" t="n">
        <v>20000000</v>
      </c>
      <c r="J5" s="10" t="n">
        <v>24000000</v>
      </c>
      <c r="K5" s="10" t="n">
        <v>22500000</v>
      </c>
      <c r="L5" s="10" t="n">
        <v>26000000</v>
      </c>
      <c r="M5" s="10" t="n">
        <v>28000000</v>
      </c>
      <c r="N5" s="10" t="n">
        <v>35000000</v>
      </c>
      <c r="O5" s="11">
        <f>SUM(C5:N5)</f>
        <v/>
      </c>
    </row>
    <row r="6">
      <c r="A6" s="8" t="inlineStr">
        <is>
          <t>Otros ingresos</t>
        </is>
      </c>
      <c r="B6" s="9" t="inlineStr">
        <is>
          <t>INGRESOS</t>
        </is>
      </c>
      <c r="C6" s="10" t="n">
        <v>1200000</v>
      </c>
      <c r="D6" s="10" t="n">
        <v>800000</v>
      </c>
      <c r="E6" s="10" t="n">
        <v>1500000</v>
      </c>
      <c r="F6" s="10" t="n">
        <v>1000000</v>
      </c>
      <c r="G6" s="10" t="n">
        <v>900000</v>
      </c>
      <c r="H6" s="10" t="n">
        <v>1100000</v>
      </c>
      <c r="I6" s="10" t="n">
        <v>1300000</v>
      </c>
      <c r="J6" s="10" t="n">
        <v>750000</v>
      </c>
      <c r="K6" s="10" t="n">
        <v>1200000</v>
      </c>
      <c r="L6" s="10" t="n">
        <v>1400000</v>
      </c>
      <c r="M6" s="10" t="n">
        <v>1600000</v>
      </c>
      <c r="N6" s="10" t="n">
        <v>2000000</v>
      </c>
      <c r="O6" s="11">
        <f>SUM(C6:N6)</f>
        <v/>
      </c>
    </row>
    <row r="7">
      <c r="A7" s="12" t="inlineStr">
        <is>
          <t>Total Ingresos</t>
        </is>
      </c>
      <c r="B7" s="13" t="n"/>
      <c r="C7" s="14">
        <f>C5+C6</f>
        <v/>
      </c>
      <c r="D7" s="14">
        <f>D5+D6</f>
        <v/>
      </c>
      <c r="E7" s="14">
        <f>E5+E6</f>
        <v/>
      </c>
      <c r="F7" s="14">
        <f>F5+F6</f>
        <v/>
      </c>
      <c r="G7" s="14">
        <f>G5+G6</f>
        <v/>
      </c>
      <c r="H7" s="14">
        <f>H5+H6</f>
        <v/>
      </c>
      <c r="I7" s="14">
        <f>I5+I6</f>
        <v/>
      </c>
      <c r="J7" s="14">
        <f>J5+J6</f>
        <v/>
      </c>
      <c r="K7" s="14">
        <f>K5+K6</f>
        <v/>
      </c>
      <c r="L7" s="14">
        <f>L5+L6</f>
        <v/>
      </c>
      <c r="M7" s="14">
        <f>M5+M6</f>
        <v/>
      </c>
      <c r="N7" s="14">
        <f>N5+N6</f>
        <v/>
      </c>
      <c r="O7" s="14">
        <f>O5+O6</f>
        <v/>
      </c>
    </row>
    <row r="8">
      <c r="A8" s="15" t="inlineStr">
        <is>
          <t>EGRESOS</t>
        </is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</row>
    <row r="9">
      <c r="A9" s="17" t="inlineStr">
        <is>
          <t>Pago proveedores</t>
        </is>
      </c>
      <c r="B9" s="18" t="inlineStr">
        <is>
          <t>EGRESOS</t>
        </is>
      </c>
      <c r="C9" s="19" t="n">
        <v>8000000</v>
      </c>
      <c r="D9" s="19" t="n">
        <v>9500000</v>
      </c>
      <c r="E9" s="19" t="n">
        <v>8800000</v>
      </c>
      <c r="F9" s="19" t="n">
        <v>10000000</v>
      </c>
      <c r="G9" s="19" t="n">
        <v>9000000</v>
      </c>
      <c r="H9" s="19" t="n">
        <v>9500000</v>
      </c>
      <c r="I9" s="19" t="n">
        <v>8500000</v>
      </c>
      <c r="J9" s="19" t="n">
        <v>10000000</v>
      </c>
      <c r="K9" s="19" t="n">
        <v>9200000</v>
      </c>
      <c r="L9" s="19" t="n">
        <v>10500000</v>
      </c>
      <c r="M9" s="19" t="n">
        <v>11000000</v>
      </c>
      <c r="N9" s="19" t="n">
        <v>13000000</v>
      </c>
      <c r="O9" s="20">
        <f>SUM(C9:N9)</f>
        <v/>
      </c>
    </row>
    <row r="10">
      <c r="A10" s="17" t="inlineStr">
        <is>
          <t>Sueldos y remuneraciones</t>
        </is>
      </c>
      <c r="B10" s="18" t="inlineStr">
        <is>
          <t>EGRESOS</t>
        </is>
      </c>
      <c r="C10" s="19" t="n">
        <v>5500000</v>
      </c>
      <c r="D10" s="19" t="n">
        <v>5500000</v>
      </c>
      <c r="E10" s="19" t="n">
        <v>5500000</v>
      </c>
      <c r="F10" s="19" t="n">
        <v>5500000</v>
      </c>
      <c r="G10" s="19" t="n">
        <v>5500000</v>
      </c>
      <c r="H10" s="19" t="n">
        <v>5500000</v>
      </c>
      <c r="I10" s="19" t="n">
        <v>5500000</v>
      </c>
      <c r="J10" s="19" t="n">
        <v>5500000</v>
      </c>
      <c r="K10" s="19" t="n">
        <v>5500000</v>
      </c>
      <c r="L10" s="19" t="n">
        <v>5500000</v>
      </c>
      <c r="M10" s="19" t="n">
        <v>5500000</v>
      </c>
      <c r="N10" s="19" t="n">
        <v>5500000</v>
      </c>
      <c r="O10" s="20">
        <f>SUM(C10:N10)</f>
        <v/>
      </c>
    </row>
    <row r="11">
      <c r="A11" s="17" t="inlineStr">
        <is>
          <t>Préstamos y cuotas</t>
        </is>
      </c>
      <c r="B11" s="18" t="inlineStr">
        <is>
          <t>EGRESOS</t>
        </is>
      </c>
      <c r="C11" s="19" t="n">
        <v>1200000</v>
      </c>
      <c r="D11" s="19" t="n">
        <v>1200000</v>
      </c>
      <c r="E11" s="19" t="n">
        <v>1200000</v>
      </c>
      <c r="F11" s="19" t="n">
        <v>1200000</v>
      </c>
      <c r="G11" s="19" t="n">
        <v>1200000</v>
      </c>
      <c r="H11" s="19" t="n">
        <v>1200000</v>
      </c>
      <c r="I11" s="19" t="n">
        <v>1200000</v>
      </c>
      <c r="J11" s="19" t="n">
        <v>1200000</v>
      </c>
      <c r="K11" s="19" t="n">
        <v>1200000</v>
      </c>
      <c r="L11" s="19" t="n">
        <v>1200000</v>
      </c>
      <c r="M11" s="19" t="n">
        <v>1200000</v>
      </c>
      <c r="N11" s="19" t="n">
        <v>1200000</v>
      </c>
      <c r="O11" s="20">
        <f>SUM(C11:N11)</f>
        <v/>
      </c>
    </row>
    <row r="12">
      <c r="A12" s="17" t="inlineStr">
        <is>
          <t>Otros egresos fijos</t>
        </is>
      </c>
      <c r="B12" s="18" t="inlineStr">
        <is>
          <t>EGRESOS</t>
        </is>
      </c>
      <c r="C12" s="19" t="n">
        <v>800000</v>
      </c>
      <c r="D12" s="19" t="n">
        <v>750000</v>
      </c>
      <c r="E12" s="19" t="n">
        <v>900000</v>
      </c>
      <c r="F12" s="19" t="n">
        <v>850000</v>
      </c>
      <c r="G12" s="19" t="n">
        <v>800000</v>
      </c>
      <c r="H12" s="19" t="n">
        <v>950000</v>
      </c>
      <c r="I12" s="19" t="n">
        <v>700000</v>
      </c>
      <c r="J12" s="19" t="n">
        <v>850000</v>
      </c>
      <c r="K12" s="19" t="n">
        <v>800000</v>
      </c>
      <c r="L12" s="19" t="n">
        <v>900000</v>
      </c>
      <c r="M12" s="19" t="n">
        <v>1000000</v>
      </c>
      <c r="N12" s="19" t="n">
        <v>1200000</v>
      </c>
      <c r="O12" s="20">
        <f>SUM(C12:N12)</f>
        <v/>
      </c>
    </row>
    <row r="13">
      <c r="A13" s="21" t="inlineStr">
        <is>
          <t>Total Egresos</t>
        </is>
      </c>
      <c r="B13" s="22" t="n"/>
      <c r="C13" s="23">
        <f>C9+C10+C11+C12</f>
        <v/>
      </c>
      <c r="D13" s="23">
        <f>D9+D10+D11+D12</f>
        <v/>
      </c>
      <c r="E13" s="23">
        <f>E9+E10+E11+E12</f>
        <v/>
      </c>
      <c r="F13" s="23">
        <f>F9+F10+F11+F12</f>
        <v/>
      </c>
      <c r="G13" s="23">
        <f>G9+G10+G11+G12</f>
        <v/>
      </c>
      <c r="H13" s="23">
        <f>H9+H10+H11+H12</f>
        <v/>
      </c>
      <c r="I13" s="23">
        <f>I9+I10+I11+I12</f>
        <v/>
      </c>
      <c r="J13" s="23">
        <f>J9+J10+J11+J12</f>
        <v/>
      </c>
      <c r="K13" s="23">
        <f>K9+K10+K11+K12</f>
        <v/>
      </c>
      <c r="L13" s="23">
        <f>L9+L10+L11+L12</f>
        <v/>
      </c>
      <c r="M13" s="23">
        <f>M9+M10+M11+M12</f>
        <v/>
      </c>
      <c r="N13" s="23">
        <f>N9+N10+N11+N12</f>
        <v/>
      </c>
      <c r="O13" s="23">
        <f>O9+O10+O11+O12</f>
        <v/>
      </c>
    </row>
    <row r="14">
      <c r="A14" s="24" t="inlineStr">
        <is>
          <t>FLUJO NETO</t>
        </is>
      </c>
      <c r="B14" s="25" t="n"/>
      <c r="C14" s="26">
        <f>C7-C13</f>
        <v/>
      </c>
      <c r="D14" s="26">
        <f>D7-D13</f>
        <v/>
      </c>
      <c r="E14" s="26">
        <f>E7-E13</f>
        <v/>
      </c>
      <c r="F14" s="26">
        <f>F7-F13</f>
        <v/>
      </c>
      <c r="G14" s="26">
        <f>G7-G13</f>
        <v/>
      </c>
      <c r="H14" s="26">
        <f>H7-H13</f>
        <v/>
      </c>
      <c r="I14" s="26">
        <f>I7-I13</f>
        <v/>
      </c>
      <c r="J14" s="26">
        <f>J7-J13</f>
        <v/>
      </c>
      <c r="K14" s="26">
        <f>K7-K13</f>
        <v/>
      </c>
      <c r="L14" s="26">
        <f>L7-L13</f>
        <v/>
      </c>
      <c r="M14" s="26">
        <f>M7-M13</f>
        <v/>
      </c>
      <c r="N14" s="26">
        <f>N7-N13</f>
        <v/>
      </c>
      <c r="O14" s="26">
        <f>O7-O13</f>
        <v/>
      </c>
    </row>
    <row r="15">
      <c r="A15" s="24" t="inlineStr">
        <is>
          <t>SALDO FINAL</t>
        </is>
      </c>
      <c r="B15" s="25" t="n"/>
      <c r="C15" s="26">
        <f>C3+C14</f>
        <v/>
      </c>
      <c r="D15" s="26">
        <f>C15+D14</f>
        <v/>
      </c>
      <c r="E15" s="26">
        <f>D15+E14</f>
        <v/>
      </c>
      <c r="F15" s="26">
        <f>E15+F14</f>
        <v/>
      </c>
      <c r="G15" s="26">
        <f>F15+G14</f>
        <v/>
      </c>
      <c r="H15" s="26">
        <f>G15+H14</f>
        <v/>
      </c>
      <c r="I15" s="26">
        <f>H15+I14</f>
        <v/>
      </c>
      <c r="J15" s="26">
        <f>I15+J14</f>
        <v/>
      </c>
      <c r="K15" s="26">
        <f>J15+K14</f>
        <v/>
      </c>
      <c r="L15" s="26">
        <f>K15+L14</f>
        <v/>
      </c>
      <c r="M15" s="26">
        <f>L15+M14</f>
        <v/>
      </c>
      <c r="N15" s="26">
        <f>M15+N14</f>
        <v/>
      </c>
      <c r="O15" s="25" t="n"/>
    </row>
  </sheetData>
  <mergeCells count="3">
    <mergeCell ref="A4:B4"/>
    <mergeCell ref="A1:O1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2026-03-22T04:50:32Z</dcterms:created>
  <dcterms:modified xmlns:dcterms="http://purl.org/dc/terms/" xmlns:xsi="http://www.w3.org/2001/XMLSchema-instance" xsi:type="dcterms:W3CDTF">2026-03-22T04:50:32Z</dcterms:modified>
</cp:coreProperties>
</file>